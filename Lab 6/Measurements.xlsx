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<sst xmlns="http://schemas.openxmlformats.org/spreadsheetml/2006/main" count="33" uniqueCount="12">
  <si>
    <t>Method</t>
  </si>
  <si>
    <t>Measurement</t>
  </si>
  <si>
    <t>Energy (mJ)</t>
  </si>
  <si>
    <t>Mean Current (mA)</t>
  </si>
  <si>
    <t>SW</t>
  </si>
  <si>
    <t>HW</t>
  </si>
  <si>
    <t>DMA</t>
  </si>
  <si>
    <t>Avg</t>
  </si>
  <si>
    <t>DMA LPM</t>
  </si>
  <si>
    <t>Interrupt</t>
  </si>
  <si>
    <t>Polling</t>
  </si>
  <si>
    <t>Averages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</si>
</sst>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Energy (mJ) vs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Sheet1!$G$2:$G$5</c:f>
            </c:strRef>
          </c:cat>
          <c:val>
            <c:numRef>
              <c:f>Sheet1!$H$2:$H$5</c:f>
              <c:numCache/>
            </c:numRef>
          </c:val>
        </c:ser>
        <c:axId val="1422393029"/>
        <c:axId val="748018492"/>
      </c:barChart>
      <c:catAx>
        <c:axId val="1422393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018492"/>
      </c:catAx>
      <c:valAx>
        <c:axId val="748018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Energy (mJ)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393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Current (mA) vs.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Sheet1!$J$2:$J$5</c:f>
            </c:strRef>
          </c:cat>
          <c:val>
            <c:numRef>
              <c:f>Sheet1!$K$2:$K$5</c:f>
              <c:numCache/>
            </c:numRef>
          </c:val>
        </c:ser>
        <c:axId val="929582233"/>
        <c:axId val="1798393118"/>
      </c:barChart>
      <c:catAx>
        <c:axId val="929582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393118"/>
      </c:catAx>
      <c:valAx>
        <c:axId val="1798393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Current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5822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657225</xdr:colOff>
      <xdr:row>3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66675</xdr:colOff>
      <xdr:row>3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2</v>
      </c>
      <c r="J1" s="1" t="s">
        <v>0</v>
      </c>
      <c r="K1" s="1" t="s">
        <v>3</v>
      </c>
    </row>
    <row r="2">
      <c r="A2" s="1" t="s">
        <v>4</v>
      </c>
      <c r="B2" s="1">
        <v>1.0</v>
      </c>
      <c r="C2" s="1">
        <v>50.365</v>
      </c>
      <c r="D2" s="1">
        <v>0.9536</v>
      </c>
      <c r="G2" s="1" t="s">
        <v>4</v>
      </c>
      <c r="H2" s="1">
        <v>50.509</v>
      </c>
      <c r="J2" s="1" t="s">
        <v>4</v>
      </c>
      <c r="K2" s="1">
        <v>0.955</v>
      </c>
    </row>
    <row r="3">
      <c r="B3" s="1">
        <v>2.0</v>
      </c>
      <c r="C3" s="1">
        <v>50.489</v>
      </c>
      <c r="D3" s="1">
        <v>0.9549</v>
      </c>
      <c r="G3" s="1" t="s">
        <v>5</v>
      </c>
      <c r="H3" s="1">
        <v>4.555</v>
      </c>
      <c r="J3" s="1" t="s">
        <v>5</v>
      </c>
      <c r="K3" s="1">
        <v>0.905</v>
      </c>
    </row>
    <row r="4">
      <c r="B4" s="1">
        <v>3.0</v>
      </c>
      <c r="C4" s="1">
        <v>50.673</v>
      </c>
      <c r="D4" s="1">
        <v>0.9552</v>
      </c>
      <c r="G4" s="1" t="s">
        <v>6</v>
      </c>
      <c r="H4" s="1">
        <v>0.72</v>
      </c>
      <c r="J4" s="1" t="s">
        <v>6</v>
      </c>
      <c r="K4" s="1">
        <v>0.873</v>
      </c>
    </row>
    <row r="5">
      <c r="A5" s="1"/>
      <c r="B5" s="1" t="s">
        <v>7</v>
      </c>
      <c r="C5" s="2">
        <f t="shared" ref="C5:D5" si="1">AVERAGE(C2:C4)</f>
        <v>50.509</v>
      </c>
      <c r="D5" s="2">
        <f t="shared" si="1"/>
        <v>0.9545666667</v>
      </c>
      <c r="G5" s="1" t="s">
        <v>8</v>
      </c>
      <c r="H5" s="1">
        <v>0.213</v>
      </c>
      <c r="J5" s="1" t="s">
        <v>8</v>
      </c>
      <c r="K5" s="1">
        <v>0.679</v>
      </c>
    </row>
    <row r="6">
      <c r="A6" s="1" t="s">
        <v>5</v>
      </c>
      <c r="B6" s="1">
        <v>1.0</v>
      </c>
      <c r="C6" s="1">
        <v>4.525</v>
      </c>
      <c r="D6" s="1">
        <v>0.907</v>
      </c>
    </row>
    <row r="7">
      <c r="B7" s="1">
        <v>2.0</v>
      </c>
      <c r="C7" s="1">
        <v>4.569</v>
      </c>
      <c r="D7" s="1">
        <v>0.9064</v>
      </c>
    </row>
    <row r="8">
      <c r="B8" s="1">
        <v>3.0</v>
      </c>
      <c r="C8" s="1">
        <v>4.572</v>
      </c>
      <c r="D8" s="1">
        <v>0.9025</v>
      </c>
    </row>
    <row r="9">
      <c r="A9" s="1"/>
      <c r="B9" s="1" t="s">
        <v>7</v>
      </c>
      <c r="C9" s="2">
        <f t="shared" ref="C9:D9" si="2">AVERAGE(C6:C8)</f>
        <v>4.555333333</v>
      </c>
      <c r="D9" s="2">
        <f t="shared" si="2"/>
        <v>0.9053</v>
      </c>
    </row>
    <row r="10">
      <c r="A10" s="1" t="s">
        <v>6</v>
      </c>
      <c r="B10" s="1">
        <v>1.0</v>
      </c>
      <c r="C10" s="1">
        <v>1.625</v>
      </c>
      <c r="D10" s="1">
        <v>0.8914</v>
      </c>
    </row>
    <row r="11">
      <c r="B11" s="1">
        <v>2.0</v>
      </c>
      <c r="C11" s="1">
        <v>0.229</v>
      </c>
      <c r="D11" s="1">
        <v>0.8653</v>
      </c>
    </row>
    <row r="12">
      <c r="B12" s="1">
        <v>3.0</v>
      </c>
      <c r="C12" s="1">
        <v>0.306</v>
      </c>
      <c r="D12" s="1">
        <v>0.8628</v>
      </c>
    </row>
    <row r="13">
      <c r="B13" s="1" t="s">
        <v>7</v>
      </c>
      <c r="C13" s="2">
        <f t="shared" ref="C13:D13" si="3">AVERAGE(C10:C12)</f>
        <v>0.72</v>
      </c>
      <c r="D13" s="2">
        <f t="shared" si="3"/>
        <v>0.8731666667</v>
      </c>
    </row>
    <row r="14">
      <c r="A14" s="1" t="s">
        <v>8</v>
      </c>
      <c r="B14" s="1">
        <v>1.0</v>
      </c>
      <c r="C14" s="1">
        <v>0.23</v>
      </c>
      <c r="D14" s="1">
        <v>0.6808</v>
      </c>
    </row>
    <row r="15">
      <c r="B15" s="1">
        <v>2.0</v>
      </c>
      <c r="C15" s="1">
        <v>0.23</v>
      </c>
      <c r="D15" s="1">
        <v>0.6798</v>
      </c>
    </row>
    <row r="16">
      <c r="B16" s="1">
        <v>3.0</v>
      </c>
      <c r="C16" s="1">
        <v>0.178</v>
      </c>
      <c r="D16" s="1">
        <v>0.6763</v>
      </c>
    </row>
    <row r="17">
      <c r="B17" s="1" t="s">
        <v>7</v>
      </c>
      <c r="C17" s="2">
        <f t="shared" ref="C17:D17" si="4">AVERAGE(C14:C16)</f>
        <v>0.2126666667</v>
      </c>
      <c r="D17" s="2">
        <f t="shared" si="4"/>
        <v>0.6789666667</v>
      </c>
    </row>
    <row r="21">
      <c r="A21" s="1" t="s">
        <v>0</v>
      </c>
      <c r="B21" s="1" t="s">
        <v>2</v>
      </c>
      <c r="C21" s="1" t="s">
        <v>3</v>
      </c>
      <c r="E21" s="1" t="s">
        <v>0</v>
      </c>
      <c r="F21" s="1" t="s">
        <v>2</v>
      </c>
      <c r="G21" s="1" t="s">
        <v>3</v>
      </c>
    </row>
    <row r="22">
      <c r="A22" s="1" t="s">
        <v>9</v>
      </c>
      <c r="B22" s="1">
        <v>0.27</v>
      </c>
      <c r="C22" s="1">
        <v>0.1022</v>
      </c>
      <c r="E22" s="1" t="s">
        <v>10</v>
      </c>
      <c r="F22" s="1">
        <v>21.669</v>
      </c>
      <c r="G22" s="1">
        <v>0.6566</v>
      </c>
    </row>
    <row r="23">
      <c r="B23" s="1">
        <v>0.27</v>
      </c>
      <c r="C23" s="1">
        <v>0.1149</v>
      </c>
      <c r="F23" s="1">
        <v>21.666</v>
      </c>
      <c r="G23" s="1">
        <v>0.6565</v>
      </c>
    </row>
    <row r="24">
      <c r="B24" s="1">
        <v>0.282</v>
      </c>
      <c r="C24" s="1">
        <v>0.1047</v>
      </c>
      <c r="F24" s="1">
        <v>21.676</v>
      </c>
      <c r="G24" s="1">
        <v>0.6568</v>
      </c>
    </row>
    <row r="25">
      <c r="A25" s="1" t="s">
        <v>11</v>
      </c>
      <c r="B25" s="2">
        <f t="shared" ref="B25:C25" si="5">AVERAGE(B22:B24)</f>
        <v>0.274</v>
      </c>
      <c r="C25" s="2">
        <f t="shared" si="5"/>
        <v>0.1072666667</v>
      </c>
      <c r="F25" s="2">
        <f t="shared" ref="F25:G25" si="6">AVERAGE(F22:F24)</f>
        <v>21.67033333</v>
      </c>
      <c r="G25" s="2">
        <f t="shared" si="6"/>
        <v>0.6566333333</v>
      </c>
    </row>
  </sheetData>
  <drawing r:id="rId1"/>
</worksheet>
</file>